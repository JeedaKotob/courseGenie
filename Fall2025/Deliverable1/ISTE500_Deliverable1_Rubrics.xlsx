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eda/Desktop/ISTE500/"/>
    </mc:Choice>
  </mc:AlternateContent>
  <xr:revisionPtr revIDLastSave="0" documentId="13_ncr:1_{38BBF84D-7D4E-494D-9D8F-5DD5E39626CD}" xr6:coauthVersionLast="47" xr6:coauthVersionMax="47" xr10:uidLastSave="{00000000-0000-0000-0000-000000000000}"/>
  <bookViews>
    <workbookView xWindow="14380" yWindow="620" windowWidth="14420" windowHeight="15440" xr2:uid="{00000000-000D-0000-FFFF-FFFF00000000}"/>
  </bookViews>
  <sheets>
    <sheet name="Rubrics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32" i="2" s="1"/>
  <c r="H29" i="2"/>
  <c r="H32" i="2" s="1"/>
  <c r="G29" i="2"/>
  <c r="G32" i="2" s="1"/>
  <c r="F29" i="2"/>
  <c r="F32" i="2" s="1"/>
  <c r="E29" i="2"/>
  <c r="E32" i="2" s="1"/>
  <c r="I22" i="2"/>
  <c r="I30" i="2" s="1"/>
  <c r="I33" i="2" s="1"/>
  <c r="H22" i="2"/>
  <c r="H30" i="2" s="1"/>
  <c r="G22" i="2"/>
  <c r="G30" i="2" s="1"/>
  <c r="F22" i="2"/>
  <c r="F30" i="2" s="1"/>
  <c r="E22" i="2"/>
  <c r="I16" i="2"/>
  <c r="H16" i="2"/>
  <c r="G16" i="2"/>
  <c r="F16" i="2"/>
  <c r="E16" i="2"/>
  <c r="I11" i="2"/>
  <c r="I31" i="2" s="1"/>
  <c r="H11" i="2"/>
  <c r="G11" i="2"/>
  <c r="F11" i="2"/>
  <c r="E11" i="2"/>
  <c r="H31" i="2" l="1"/>
  <c r="H33" i="2" s="1"/>
  <c r="G31" i="2"/>
  <c r="F31" i="2"/>
  <c r="F33" i="2" s="1"/>
  <c r="E33" i="2"/>
  <c r="G33" i="2"/>
</calcChain>
</file>

<file path=xl/sharedStrings.xml><?xml version="1.0" encoding="utf-8"?>
<sst xmlns="http://schemas.openxmlformats.org/spreadsheetml/2006/main" count="81" uniqueCount="77">
  <si>
    <t>Criteria</t>
  </si>
  <si>
    <t>Description</t>
  </si>
  <si>
    <t>Problem statement</t>
  </si>
  <si>
    <t>Clear and concise definition of the problem to be solved.</t>
  </si>
  <si>
    <t>Norms &amp; values</t>
  </si>
  <si>
    <t>Documented and meaningful norms &amp; values related to the project.</t>
  </si>
  <si>
    <t>How well the team utilizes feedback for improvement.</t>
  </si>
  <si>
    <t>How well individual members adhere to team norms and values.</t>
  </si>
  <si>
    <t>Response to feedback</t>
  </si>
  <si>
    <t xml:space="preserve">Requirements elicitation methods </t>
  </si>
  <si>
    <t>brain storming, interviews with stakeholders, surveys, observations</t>
  </si>
  <si>
    <t>Development methodology and process</t>
  </si>
  <si>
    <t>Initial scope and expected obstacles</t>
  </si>
  <si>
    <t>Development life cycle according to standards</t>
  </si>
  <si>
    <t>Identification of initial scope, excludes, obsticles</t>
  </si>
  <si>
    <t>Writing Skills</t>
  </si>
  <si>
    <t>Language and Style</t>
  </si>
  <si>
    <t>Citations</t>
  </si>
  <si>
    <t>The report adheres to standard technical report guidelines with a well-structured main body, including clear sections and sub-sections.</t>
  </si>
  <si>
    <t>Figures, tables, graphs, and drawings are appropriately referenced and presented</t>
  </si>
  <si>
    <t>References are properly cited and formatted according to standard guidelines</t>
  </si>
  <si>
    <t>Report and Quality of work</t>
  </si>
  <si>
    <t>Oral communication skill </t>
  </si>
  <si>
    <t>Score_0(0%)</t>
  </si>
  <si>
    <t>Score_2(50%)</t>
  </si>
  <si>
    <t>Score_1(25%)</t>
  </si>
  <si>
    <t>Score_3(75%)</t>
  </si>
  <si>
    <t>Score_4(100%)</t>
  </si>
  <si>
    <t>Format and Organization</t>
  </si>
  <si>
    <t>Clarity and Relevance</t>
  </si>
  <si>
    <t>Content and Structure</t>
  </si>
  <si>
    <t>Delivery</t>
  </si>
  <si>
    <t>Challenges and Conclusions</t>
  </si>
  <si>
    <t>The project title, topic, objectives, and outline were clearly defined and relevant</t>
  </si>
  <si>
    <t>The presentation was audible, well-paced, articulate, and engaging.</t>
  </si>
  <si>
    <t>Discussed any significant challenges and derived clear conclusions and recommendations from the findings</t>
  </si>
  <si>
    <t>Presentation</t>
  </si>
  <si>
    <t>Report</t>
  </si>
  <si>
    <t>Graded by the mentors after deliverable reports submissions</t>
  </si>
  <si>
    <t>Weekly participation</t>
  </si>
  <si>
    <t>Graded by instructors based on class participation and mentors MoM</t>
  </si>
  <si>
    <t>Mentor and Co-Mentor:</t>
  </si>
  <si>
    <t>Group Members:</t>
  </si>
  <si>
    <t>Project Title:</t>
  </si>
  <si>
    <t>Metrics of each grade</t>
  </si>
  <si>
    <t>Participation during class and meetings</t>
  </si>
  <si>
    <t>Adherence to team norms and values and Professional behavior</t>
  </si>
  <si>
    <t>Participation</t>
  </si>
  <si>
    <t>Contribution to the Project</t>
  </si>
  <si>
    <t>Level of completing the assigned tasks</t>
  </si>
  <si>
    <t>Effective communication and motivation</t>
  </si>
  <si>
    <t>Effectiveness of communication among team members and showing motivation and initiating ideas.</t>
  </si>
  <si>
    <t>Max Grade</t>
  </si>
  <si>
    <t>Total/100</t>
  </si>
  <si>
    <t>half of the work is accomplished or average quality</t>
  </si>
  <si>
    <t>work is almost accomplished or accepted qulty with minor deficiencies</t>
  </si>
  <si>
    <t>work is completed with excellent quality</t>
  </si>
  <si>
    <t>only small portion of the work implemented or poor quality with major deficiencies</t>
  </si>
  <si>
    <t>The work is not implemented or very poor quality that is not accepted</t>
  </si>
  <si>
    <t>Description of metrics</t>
  </si>
  <si>
    <t>Students Commitment</t>
  </si>
  <si>
    <t>Presentation/10</t>
  </si>
  <si>
    <t>Weekly Participation/100</t>
  </si>
  <si>
    <t>Total/20</t>
  </si>
  <si>
    <t>Draft of project plan and initial milestones, roles of each member, identifying stakeholders</t>
  </si>
  <si>
    <t>Literature review, current and similar systems, your solution</t>
  </si>
  <si>
    <t>defining milestones, responsibilites, and stakeholders roles and impact on project</t>
  </si>
  <si>
    <t>Literature Review, citation and references</t>
  </si>
  <si>
    <t>Total/80</t>
  </si>
  <si>
    <t>Deliv I/20</t>
  </si>
  <si>
    <t>Report/10</t>
  </si>
  <si>
    <t>Provided sufficient background, detailed the methodology, and presented information logically. Slides were clear, concise, visually appealing, and effectively used pictures, diagrams, tables, and multimedia elements</t>
  </si>
  <si>
    <t>Graded by mentors</t>
  </si>
  <si>
    <t>st1</t>
  </si>
  <si>
    <t>st2</t>
  </si>
  <si>
    <t>st3</t>
  </si>
  <si>
    <t>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</si>
</sst>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left" vertical="center" wrapText="1"/>
    </xf>
    <xf numFmtId="0" fontId="0" fillId="38" borderId="10" xfId="0" applyFill="1" applyBorder="1" applyAlignment="1">
      <alignment horizontal="left" vertical="center" wrapText="1"/>
    </xf>
    <xf numFmtId="0" fontId="16" fillId="38" borderId="10" xfId="0" applyFont="1" applyFill="1" applyBorder="1" applyAlignment="1">
      <alignment horizontal="left" vertical="center" wrapText="1"/>
    </xf>
    <xf numFmtId="0" fontId="16" fillId="38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0" fillId="39" borderId="10" xfId="0" applyFont="1" applyFill="1" applyBorder="1" applyAlignment="1">
      <alignment horizontal="left" vertical="center" wrapText="1"/>
    </xf>
    <xf numFmtId="0" fontId="20" fillId="39" borderId="10" xfId="0" applyFont="1" applyFill="1" applyBorder="1" applyAlignment="1">
      <alignment wrapText="1"/>
    </xf>
    <xf numFmtId="0" fontId="16" fillId="40" borderId="10" xfId="0" applyFont="1" applyFill="1" applyBorder="1" applyAlignment="1">
      <alignment horizontal="center" vertical="top" wrapText="1"/>
    </xf>
    <xf numFmtId="0" fontId="0" fillId="40" borderId="10" xfId="0" applyFill="1" applyBorder="1" applyAlignment="1">
      <alignment vertical="top" wrapText="1"/>
    </xf>
    <xf numFmtId="0" fontId="16" fillId="33" borderId="10" xfId="0" applyFont="1" applyFill="1" applyBorder="1" applyAlignment="1">
      <alignment horizontal="left"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6" fillId="35" borderId="10" xfId="0" applyFont="1" applyFill="1" applyBorder="1" applyAlignment="1">
      <alignment horizontal="left" vertical="center" wrapText="1"/>
    </xf>
    <xf numFmtId="0" fontId="16" fillId="36" borderId="10" xfId="0" applyFont="1" applyFill="1" applyBorder="1" applyAlignment="1">
      <alignment horizontal="left" vertical="center" wrapText="1"/>
    </xf>
    <xf numFmtId="0" fontId="16" fillId="37" borderId="10" xfId="0" applyFont="1" applyFill="1" applyBorder="1" applyAlignment="1">
      <alignment horizontal="left" vertical="center" wrapText="1"/>
    </xf>
    <xf numFmtId="0" fontId="0" fillId="41" borderId="10" xfId="0" applyFill="1" applyBorder="1" applyAlignment="1">
      <alignment horizontal="left" vertical="center" wrapText="1"/>
    </xf>
    <xf numFmtId="0" fontId="0" fillId="41" borderId="10" xfId="0" applyFill="1" applyBorder="1" applyAlignment="1">
      <alignment wrapText="1"/>
    </xf>
    <xf numFmtId="0" fontId="16" fillId="39" borderId="10" xfId="0" applyFont="1" applyFill="1" applyBorder="1" applyAlignment="1">
      <alignment horizontal="center" vertical="center" wrapText="1"/>
    </xf>
    <xf numFmtId="0" fontId="16" fillId="41" borderId="10" xfId="0" applyFont="1" applyFill="1" applyBorder="1" applyAlignment="1">
      <alignment horizontal="center" vertical="center" wrapText="1"/>
    </xf>
    <xf numFmtId="0" fontId="18" fillId="38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41" borderId="10" xfId="0" applyFont="1" applyFill="1" applyBorder="1" applyAlignment="1">
      <alignment horizontal="center" vertical="center" wrapText="1"/>
    </xf>
    <xf numFmtId="0" fontId="20" fillId="39" borderId="10" xfId="0" applyFont="1" applyFill="1" applyBorder="1" applyAlignment="1">
      <alignment horizontal="left" vertical="top" wrapText="1"/>
    </xf>
    <xf numFmtId="0" fontId="0" fillId="38" borderId="10" xfId="0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41" borderId="10" xfId="0" applyFill="1" applyBorder="1" applyAlignment="1">
      <alignment horizontal="left" vertical="top" wrapText="1"/>
    </xf>
    <xf numFmtId="0" fontId="19" fillId="38" borderId="10" xfId="0" applyFont="1" applyFill="1" applyBorder="1" applyAlignment="1">
      <alignment horizontal="left" vertical="top" wrapText="1"/>
    </xf>
    <xf numFmtId="0" fontId="16" fillId="38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16" fillId="40" borderId="14" xfId="0" applyFont="1" applyFill="1" applyBorder="1" applyAlignment="1">
      <alignment horizontal="left" vertical="top" wrapText="1"/>
    </xf>
    <xf numFmtId="0" fontId="16" fillId="0" borderId="10" xfId="0" applyFont="1" applyBorder="1" applyAlignment="1">
      <alignment horizontal="center" vertical="center" wrapText="1"/>
    </xf>
    <xf numFmtId="0" fontId="16" fillId="40" borderId="13" xfId="0" applyFont="1" applyFill="1" applyBorder="1" applyAlignment="1">
      <alignment horizontal="left" vertical="top" wrapText="1"/>
    </xf>
    <xf numFmtId="0" fontId="16" fillId="40" borderId="14" xfId="0" applyFont="1" applyFill="1" applyBorder="1" applyAlignment="1">
      <alignment horizontal="left" vertical="top" wrapText="1"/>
    </xf>
    <xf numFmtId="9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038A-4C74-4216-B5E6-D34EBAD5B962}">
  <dimension ref="A1:AX33"/>
  <sheetViews>
    <sheetView tabSelected="1" zoomScale="88" workbookViewId="0">
      <pane ySplit="1" topLeftCell="A3" activePane="bottomLeft" state="frozen"/>
      <selection activeCell="B1" sqref="B1"/>
      <selection pane="bottomLeft" activeCell="E7" sqref="E7"/>
    </sheetView>
  </sheetViews>
  <sheetFormatPr baseColWidth="10" defaultColWidth="8.6640625" defaultRowHeight="15" x14ac:dyDescent="0.2"/>
  <cols>
    <col min="1" max="1" width="29.6640625" style="1" customWidth="1"/>
    <col min="2" max="2" width="29.6640625" style="28" customWidth="1"/>
    <col min="3" max="3" width="40.5" style="28" customWidth="1"/>
    <col min="4" max="4" width="18.33203125" style="1" customWidth="1"/>
    <col min="5" max="9" width="22.6640625" style="1" customWidth="1"/>
    <col min="10" max="10" width="34.5" style="1" customWidth="1"/>
    <col min="11" max="11" width="43.1640625" style="1" customWidth="1"/>
    <col min="12" max="12" width="17.5" style="1" customWidth="1"/>
    <col min="13" max="13" width="19.6640625" style="1" customWidth="1"/>
    <col min="14" max="16384" width="8.6640625" style="1"/>
  </cols>
  <sheetData>
    <row r="1" spans="1:50" ht="47" customHeight="1" x14ac:dyDescent="0.2">
      <c r="A1" s="35" t="s">
        <v>43</v>
      </c>
      <c r="B1" s="36"/>
      <c r="C1" s="33" t="s">
        <v>41</v>
      </c>
      <c r="D1" s="12" t="s">
        <v>42</v>
      </c>
      <c r="E1" s="12" t="s">
        <v>73</v>
      </c>
      <c r="F1" s="12" t="s">
        <v>74</v>
      </c>
      <c r="G1" s="12" t="s">
        <v>75</v>
      </c>
      <c r="H1" s="12" t="s">
        <v>76</v>
      </c>
      <c r="I1" s="13"/>
    </row>
    <row r="2" spans="1:50" ht="47" customHeight="1" x14ac:dyDescent="0.2">
      <c r="A2" s="10"/>
      <c r="B2" s="26" t="s">
        <v>0</v>
      </c>
      <c r="C2" s="26" t="s">
        <v>1</v>
      </c>
      <c r="D2" s="10"/>
      <c r="E2" s="10"/>
      <c r="F2" s="10"/>
      <c r="G2" s="10"/>
      <c r="H2" s="10"/>
      <c r="I2" s="10"/>
      <c r="J2" s="11" t="s">
        <v>44</v>
      </c>
      <c r="K2" s="11" t="s">
        <v>59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53.5" customHeight="1" x14ac:dyDescent="0.2">
      <c r="A3" s="4" t="s">
        <v>37</v>
      </c>
      <c r="B3" s="31" t="s">
        <v>21</v>
      </c>
      <c r="C3" s="27"/>
      <c r="D3" s="5" t="s">
        <v>52</v>
      </c>
      <c r="E3" s="3"/>
      <c r="F3" s="3"/>
      <c r="G3" s="3"/>
      <c r="H3" s="3"/>
      <c r="I3" s="3"/>
      <c r="J3" s="14" t="s">
        <v>23</v>
      </c>
      <c r="K3" s="2" t="s">
        <v>58</v>
      </c>
      <c r="L3" s="9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78.5" customHeight="1" x14ac:dyDescent="0.2">
      <c r="A4" s="37" t="s">
        <v>38</v>
      </c>
      <c r="B4" s="28" t="s">
        <v>4</v>
      </c>
      <c r="C4" s="28" t="s">
        <v>5</v>
      </c>
      <c r="D4" s="34">
        <v>5</v>
      </c>
      <c r="E4" s="34"/>
      <c r="F4" s="34"/>
      <c r="G4" s="34"/>
      <c r="H4" s="34"/>
      <c r="I4" s="34"/>
      <c r="J4" s="15" t="s">
        <v>25</v>
      </c>
      <c r="K4" s="2" t="s">
        <v>57</v>
      </c>
      <c r="L4" s="9"/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51.5" customHeight="1" x14ac:dyDescent="0.2">
      <c r="A5" s="37"/>
      <c r="B5" s="28" t="s">
        <v>2</v>
      </c>
      <c r="C5" s="28" t="s">
        <v>3</v>
      </c>
      <c r="D5" s="34">
        <v>10</v>
      </c>
      <c r="E5" s="34"/>
      <c r="F5" s="34"/>
      <c r="G5" s="34"/>
      <c r="H5" s="34"/>
      <c r="I5" s="34"/>
      <c r="J5" s="16" t="s">
        <v>24</v>
      </c>
      <c r="K5" s="2" t="s">
        <v>54</v>
      </c>
      <c r="L5" s="9"/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69" customHeight="1" x14ac:dyDescent="0.2">
      <c r="A6" s="37"/>
      <c r="B6" s="28" t="s">
        <v>67</v>
      </c>
      <c r="C6" s="28" t="s">
        <v>65</v>
      </c>
      <c r="D6" s="34">
        <v>20</v>
      </c>
      <c r="E6" s="34"/>
      <c r="F6" s="34"/>
      <c r="G6" s="34"/>
      <c r="H6" s="34"/>
      <c r="I6" s="34"/>
      <c r="J6" s="17" t="s">
        <v>26</v>
      </c>
      <c r="K6" s="2" t="s">
        <v>55</v>
      </c>
      <c r="L6" s="9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39.5" customHeight="1" x14ac:dyDescent="0.2">
      <c r="A7" s="37"/>
      <c r="B7" s="28" t="s">
        <v>9</v>
      </c>
      <c r="C7" s="28" t="s">
        <v>10</v>
      </c>
      <c r="D7" s="34">
        <v>15</v>
      </c>
      <c r="E7" s="34"/>
      <c r="F7" s="34"/>
      <c r="G7" s="34"/>
      <c r="H7" s="34"/>
      <c r="I7" s="34"/>
      <c r="J7" s="18" t="s">
        <v>27</v>
      </c>
      <c r="K7" s="2" t="s">
        <v>56</v>
      </c>
      <c r="L7" s="9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65" customHeight="1" x14ac:dyDescent="0.2">
      <c r="A8" s="37"/>
      <c r="B8" s="32" t="s">
        <v>12</v>
      </c>
      <c r="C8" s="28" t="s">
        <v>14</v>
      </c>
      <c r="D8" s="34">
        <v>10</v>
      </c>
      <c r="E8" s="34"/>
      <c r="F8" s="34"/>
      <c r="G8" s="34"/>
      <c r="H8" s="34"/>
      <c r="I8" s="34"/>
      <c r="J8" s="9"/>
      <c r="K8" s="9"/>
      <c r="L8" s="9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40.5" customHeight="1" x14ac:dyDescent="0.2">
      <c r="A9" s="37"/>
      <c r="B9" s="28" t="s">
        <v>11</v>
      </c>
      <c r="C9" s="28" t="s">
        <v>13</v>
      </c>
      <c r="D9" s="34">
        <v>10</v>
      </c>
      <c r="E9" s="34"/>
      <c r="F9" s="34"/>
      <c r="G9" s="34"/>
      <c r="H9" s="34"/>
      <c r="I9" s="34"/>
      <c r="J9" s="9"/>
      <c r="K9" s="9"/>
      <c r="L9" s="9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73" customHeight="1" x14ac:dyDescent="0.2">
      <c r="A10" s="37"/>
      <c r="B10" s="28" t="s">
        <v>64</v>
      </c>
      <c r="C10" s="28" t="s">
        <v>66</v>
      </c>
      <c r="D10" s="34">
        <v>10</v>
      </c>
      <c r="E10" s="34"/>
      <c r="F10" s="34"/>
      <c r="G10" s="34"/>
      <c r="H10" s="34"/>
      <c r="I10" s="34"/>
      <c r="J10" s="9"/>
      <c r="K10" s="9"/>
      <c r="L10" s="9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34" customHeight="1" x14ac:dyDescent="0.2">
      <c r="A11" s="37"/>
      <c r="B11" s="29"/>
      <c r="C11" s="29"/>
      <c r="D11" s="22" t="s">
        <v>68</v>
      </c>
      <c r="E11" s="22">
        <f>E4*(0.25)*$D4+E5*(0.25)*$D5+E6*(0.25)*$D6+E7*(0.25)*$D7+E8*(0.25)*$D8+E9*(0.25)*$D9+E10*(0.25)*$D10</f>
        <v>0</v>
      </c>
      <c r="F11" s="22">
        <f>F4*(0.25)*$D4+F5*(0.25)*$D5+F6*(0.25)*$D6+F7*(0.25)*$D7+F8*(0.25)*$D8+F9*(0.25)*$D9+F10*(0.25)*$D10</f>
        <v>0</v>
      </c>
      <c r="G11" s="22">
        <f>G4*(0.25)*$D4+G5*(0.25)*$D5+G6*(0.25)*$D6+G7*(0.25)*$D7+G8*(0.25)*$D8+G9*(0.25)*$D9+G10*(0.25)*$D10</f>
        <v>0</v>
      </c>
      <c r="H11" s="22">
        <f>H4*(0.25)*$D4+H5*(0.25)*$D5+H6*(0.25)*$D6+H7*(0.25)*$D7+H8*(0.25)*$D8+H9*(0.25)*$D9+H10*(0.25)*$D10</f>
        <v>0</v>
      </c>
      <c r="I11" s="22">
        <f>I4*(0.25)*$D4+I5*(0.25)*$D5+I6*(0.25)*$D6+I7*(0.25)*$D7+I8*(0.25)*$D8+I9*(0.25)*$D9+I10*(0.25)*$D10</f>
        <v>0</v>
      </c>
      <c r="J11" s="9"/>
      <c r="K11" s="9"/>
      <c r="L11" s="9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32" customHeight="1" x14ac:dyDescent="0.2">
      <c r="A12" s="37"/>
      <c r="B12" s="31" t="s">
        <v>15</v>
      </c>
      <c r="C12" s="27"/>
      <c r="D12" s="5" t="s">
        <v>52</v>
      </c>
      <c r="E12" s="5"/>
      <c r="F12" s="5"/>
      <c r="G12" s="5"/>
      <c r="H12" s="5"/>
      <c r="I12" s="5"/>
      <c r="J12" s="9"/>
      <c r="K12" s="9"/>
      <c r="L12" s="9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66" customHeight="1" x14ac:dyDescent="0.2">
      <c r="A13" s="37"/>
      <c r="B13" s="28" t="s">
        <v>28</v>
      </c>
      <c r="C13" s="28" t="s">
        <v>18</v>
      </c>
      <c r="D13" s="34">
        <v>10</v>
      </c>
      <c r="E13" s="34"/>
      <c r="F13" s="34"/>
      <c r="G13" s="34"/>
      <c r="H13" s="34"/>
      <c r="I13" s="34"/>
      <c r="J13" s="9"/>
      <c r="K13" s="9"/>
      <c r="L13" s="9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35.5" customHeight="1" x14ac:dyDescent="0.2">
      <c r="A14" s="37"/>
      <c r="B14" s="28" t="s">
        <v>16</v>
      </c>
      <c r="C14" s="28" t="s">
        <v>19</v>
      </c>
      <c r="D14" s="34">
        <v>5</v>
      </c>
      <c r="E14" s="34"/>
      <c r="F14" s="34"/>
      <c r="G14" s="34"/>
      <c r="H14" s="34"/>
      <c r="I14" s="34"/>
      <c r="J14" s="9"/>
      <c r="K14" s="9"/>
      <c r="L14" s="9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58" customHeight="1" x14ac:dyDescent="0.2">
      <c r="A15" s="37"/>
      <c r="B15" s="28" t="s">
        <v>17</v>
      </c>
      <c r="C15" s="28" t="s">
        <v>20</v>
      </c>
      <c r="D15" s="34">
        <v>5</v>
      </c>
      <c r="E15" s="34"/>
      <c r="F15" s="34"/>
      <c r="G15" s="34"/>
      <c r="H15" s="34"/>
      <c r="I15" s="34"/>
      <c r="J15" s="9"/>
      <c r="K15" s="9"/>
      <c r="L15" s="9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31" customHeight="1" x14ac:dyDescent="0.2">
      <c r="A16" s="19"/>
      <c r="B16" s="29"/>
      <c r="C16" s="29"/>
      <c r="D16" s="22" t="s">
        <v>63</v>
      </c>
      <c r="E16" s="22">
        <f>E13*(0.25)*$D13+E14*(0.25)*$D14+E15*(0.25)*$D15</f>
        <v>0</v>
      </c>
      <c r="F16" s="22">
        <f t="shared" ref="F16:H16" si="0">F13*(0.25)*$D13+F14*(0.25)*$D14+F15*(0.25)*$D15</f>
        <v>0</v>
      </c>
      <c r="G16" s="22">
        <f t="shared" si="0"/>
        <v>0</v>
      </c>
      <c r="H16" s="22">
        <f t="shared" si="0"/>
        <v>0</v>
      </c>
      <c r="I16" s="22">
        <f>I13*(0.25)*$D13+I14*(0.25)*$D14+I15*(0.25)*$D15</f>
        <v>0</v>
      </c>
      <c r="J16" s="9"/>
      <c r="K16" s="9"/>
      <c r="L16" s="9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31" customHeight="1" x14ac:dyDescent="0.2">
      <c r="A17" s="4" t="s">
        <v>36</v>
      </c>
      <c r="B17" s="31" t="s">
        <v>22</v>
      </c>
      <c r="C17" s="30"/>
      <c r="D17" s="5" t="s">
        <v>52</v>
      </c>
      <c r="E17" s="23"/>
      <c r="F17" s="23"/>
      <c r="G17" s="23"/>
      <c r="H17" s="23"/>
      <c r="I17" s="5"/>
      <c r="J17" s="9"/>
      <c r="K17" s="9"/>
      <c r="L17" s="9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ht="55" customHeight="1" x14ac:dyDescent="0.2">
      <c r="A18" s="38" t="s">
        <v>72</v>
      </c>
      <c r="B18" s="28" t="s">
        <v>29</v>
      </c>
      <c r="C18" s="28" t="s">
        <v>33</v>
      </c>
      <c r="D18" s="34">
        <v>25</v>
      </c>
      <c r="E18" s="24"/>
      <c r="F18" s="24"/>
      <c r="G18" s="24"/>
      <c r="H18" s="24"/>
      <c r="I18" s="34"/>
      <c r="J18" s="9"/>
      <c r="K18" s="9"/>
      <c r="L18" s="9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94.5" customHeight="1" x14ac:dyDescent="0.2">
      <c r="A19" s="38"/>
      <c r="B19" s="28" t="s">
        <v>30</v>
      </c>
      <c r="C19" s="28" t="s">
        <v>71</v>
      </c>
      <c r="D19" s="34">
        <v>25</v>
      </c>
      <c r="E19" s="24"/>
      <c r="F19" s="24"/>
      <c r="G19" s="24"/>
      <c r="H19" s="24"/>
      <c r="I19" s="34"/>
      <c r="J19" s="9"/>
      <c r="K19" s="9"/>
      <c r="L19" s="9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ht="56" customHeight="1" x14ac:dyDescent="0.2">
      <c r="A20" s="38"/>
      <c r="B20" s="28" t="s">
        <v>31</v>
      </c>
      <c r="C20" s="28" t="s">
        <v>34</v>
      </c>
      <c r="D20" s="34">
        <v>25</v>
      </c>
      <c r="E20" s="24"/>
      <c r="F20" s="24"/>
      <c r="G20" s="24"/>
      <c r="H20" s="24"/>
      <c r="I20" s="34"/>
      <c r="J20" s="9"/>
      <c r="K20" s="9"/>
      <c r="L20" s="9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ht="56" customHeight="1" x14ac:dyDescent="0.2">
      <c r="A21" s="38"/>
      <c r="B21" s="28" t="s">
        <v>32</v>
      </c>
      <c r="C21" s="28" t="s">
        <v>35</v>
      </c>
      <c r="D21" s="34">
        <v>25</v>
      </c>
      <c r="E21" s="24"/>
      <c r="F21" s="24"/>
      <c r="G21" s="24"/>
      <c r="H21" s="24"/>
      <c r="I21" s="34"/>
      <c r="J21" s="9"/>
      <c r="K21" s="9"/>
      <c r="L21" s="9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30" customHeight="1" x14ac:dyDescent="0.2">
      <c r="A22" s="19"/>
      <c r="B22" s="29"/>
      <c r="C22" s="29"/>
      <c r="D22" s="22" t="s">
        <v>53</v>
      </c>
      <c r="E22" s="25">
        <f>E18*(0.25)*$D18+E19*(0.25)*$D19+E20*(0.25)*$D20+E21*(0.25)*$D21</f>
        <v>0</v>
      </c>
      <c r="F22" s="25">
        <f t="shared" ref="F22:I22" si="1">F18*(0.25)*$D18+F19*(0.25)*$D19+F20*(0.25)*$D20+F21*(0.25)*$D21</f>
        <v>0</v>
      </c>
      <c r="G22" s="25">
        <f t="shared" si="1"/>
        <v>0</v>
      </c>
      <c r="H22" s="25">
        <f t="shared" si="1"/>
        <v>0</v>
      </c>
      <c r="I22" s="25">
        <f t="shared" si="1"/>
        <v>0</v>
      </c>
      <c r="J22" s="9"/>
      <c r="K22" s="9"/>
      <c r="L22" s="9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31.5" customHeight="1" x14ac:dyDescent="0.2">
      <c r="A23" s="5" t="s">
        <v>60</v>
      </c>
      <c r="B23" s="31" t="s">
        <v>39</v>
      </c>
      <c r="C23" s="27"/>
      <c r="D23" s="5" t="s">
        <v>52</v>
      </c>
      <c r="E23" s="23"/>
      <c r="F23" s="23"/>
      <c r="G23" s="23"/>
      <c r="H23" s="23"/>
      <c r="I23" s="5"/>
      <c r="J23" s="9"/>
      <c r="K23" s="9"/>
      <c r="L23" s="9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40" customHeight="1" x14ac:dyDescent="0.2">
      <c r="A24" s="37" t="s">
        <v>40</v>
      </c>
      <c r="B24" s="28" t="s">
        <v>8</v>
      </c>
      <c r="C24" s="28" t="s">
        <v>6</v>
      </c>
      <c r="D24" s="34">
        <v>20</v>
      </c>
      <c r="E24" s="34"/>
      <c r="F24" s="34"/>
      <c r="G24" s="34"/>
      <c r="H24" s="34"/>
      <c r="I24" s="34"/>
      <c r="J24" s="9"/>
      <c r="K24" s="9"/>
      <c r="L24" s="9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54" customHeight="1" x14ac:dyDescent="0.2">
      <c r="A25" s="37"/>
      <c r="B25" s="28" t="s">
        <v>46</v>
      </c>
      <c r="C25" s="28" t="s">
        <v>7</v>
      </c>
      <c r="D25" s="34">
        <v>20</v>
      </c>
      <c r="E25" s="34"/>
      <c r="F25" s="34"/>
      <c r="G25" s="34"/>
      <c r="H25" s="34"/>
      <c r="I25" s="34"/>
      <c r="J25" s="9"/>
      <c r="K25" s="9"/>
      <c r="L25" s="9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30.5" customHeight="1" x14ac:dyDescent="0.2">
      <c r="A26" s="37"/>
      <c r="B26" s="28" t="s">
        <v>48</v>
      </c>
      <c r="C26" s="28" t="s">
        <v>49</v>
      </c>
      <c r="D26" s="34">
        <v>20</v>
      </c>
      <c r="E26" s="34"/>
      <c r="F26" s="34"/>
      <c r="G26" s="34"/>
      <c r="H26" s="34"/>
      <c r="I26" s="34"/>
      <c r="J26" s="9"/>
      <c r="K26" s="9"/>
      <c r="L26" s="9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48" customHeight="1" x14ac:dyDescent="0.2">
      <c r="A27" s="37"/>
      <c r="B27" s="28" t="s">
        <v>50</v>
      </c>
      <c r="C27" s="28" t="s">
        <v>51</v>
      </c>
      <c r="D27" s="34">
        <v>20</v>
      </c>
      <c r="E27" s="34"/>
      <c r="F27" s="34"/>
      <c r="G27" s="34"/>
      <c r="H27" s="34"/>
      <c r="I27" s="34"/>
      <c r="J27" s="9"/>
      <c r="K27" s="9"/>
      <c r="L27" s="9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ht="31" customHeight="1" x14ac:dyDescent="0.2">
      <c r="A28" s="37"/>
      <c r="B28" s="28" t="s">
        <v>47</v>
      </c>
      <c r="C28" s="28" t="s">
        <v>45</v>
      </c>
      <c r="D28" s="34">
        <v>20</v>
      </c>
      <c r="E28" s="34"/>
      <c r="F28" s="34"/>
      <c r="G28" s="34"/>
      <c r="H28" s="34"/>
      <c r="I28" s="34"/>
      <c r="J28" s="9"/>
      <c r="K28" s="9"/>
      <c r="L28" s="9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27.5" customHeight="1" x14ac:dyDescent="0.2">
      <c r="A29" s="20"/>
      <c r="B29" s="29"/>
      <c r="C29" s="29"/>
      <c r="D29" s="22" t="s">
        <v>53</v>
      </c>
      <c r="E29" s="22">
        <f>E24*(0.25)*$D24+E25*(0.25)*$D25+E26*(0.25)*$D26+E27*(0.25)*$D27+E28*(0.25)*$D28</f>
        <v>0</v>
      </c>
      <c r="F29" s="22">
        <f t="shared" ref="F29:I29" si="2">F24*(0.25)*$D24+F25*(0.25)*$D25+F26*(0.25)*$D26+F27*(0.25)*$D27+F28*(0.25)*$D28</f>
        <v>0</v>
      </c>
      <c r="G29" s="22">
        <f t="shared" si="2"/>
        <v>0</v>
      </c>
      <c r="H29" s="22">
        <f t="shared" si="2"/>
        <v>0</v>
      </c>
      <c r="I29" s="22">
        <f t="shared" si="2"/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ht="36.5" customHeight="1" x14ac:dyDescent="0.2">
      <c r="D30" s="21" t="s">
        <v>61</v>
      </c>
      <c r="E30" s="21">
        <v>0</v>
      </c>
      <c r="F30" s="21">
        <f t="shared" ref="F30:I30" si="3">F22/10</f>
        <v>0</v>
      </c>
      <c r="G30" s="21">
        <f t="shared" si="3"/>
        <v>0</v>
      </c>
      <c r="H30" s="21">
        <f t="shared" si="3"/>
        <v>0</v>
      </c>
      <c r="I30" s="21">
        <f t="shared" si="3"/>
        <v>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47.5" customHeight="1" x14ac:dyDescent="0.2">
      <c r="D31" s="21" t="s">
        <v>70</v>
      </c>
      <c r="E31" s="21">
        <v>0</v>
      </c>
      <c r="F31" s="21">
        <f>(F11+F16)*10/100</f>
        <v>0</v>
      </c>
      <c r="G31" s="21">
        <f t="shared" ref="G31:I31" si="4">(G11+G16)*10/100</f>
        <v>0</v>
      </c>
      <c r="H31" s="21">
        <f t="shared" si="4"/>
        <v>0</v>
      </c>
      <c r="I31" s="21">
        <f t="shared" si="4"/>
        <v>0</v>
      </c>
    </row>
    <row r="32" spans="1:50" ht="45" customHeight="1" x14ac:dyDescent="0.2">
      <c r="D32" s="21" t="s">
        <v>62</v>
      </c>
      <c r="E32" s="21">
        <f>E29</f>
        <v>0</v>
      </c>
      <c r="F32" s="21">
        <f t="shared" ref="F32:I32" si="5">F29</f>
        <v>0</v>
      </c>
      <c r="G32" s="21">
        <f t="shared" si="5"/>
        <v>0</v>
      </c>
      <c r="H32" s="21">
        <f t="shared" si="5"/>
        <v>0</v>
      </c>
      <c r="I32" s="21">
        <f t="shared" si="5"/>
        <v>0</v>
      </c>
    </row>
    <row r="33" spans="4:9" ht="47" customHeight="1" x14ac:dyDescent="0.2">
      <c r="D33" s="21" t="s">
        <v>69</v>
      </c>
      <c r="E33" s="21">
        <f>E30+E31</f>
        <v>0</v>
      </c>
      <c r="F33" s="21">
        <f t="shared" ref="F33:I33" si="6">F30+F31</f>
        <v>0</v>
      </c>
      <c r="G33" s="21">
        <f t="shared" si="6"/>
        <v>0</v>
      </c>
      <c r="H33" s="21">
        <f t="shared" si="6"/>
        <v>0</v>
      </c>
      <c r="I33" s="21">
        <f t="shared" si="6"/>
        <v>0</v>
      </c>
    </row>
  </sheetData>
  <mergeCells count="4">
    <mergeCell ref="A1:B1"/>
    <mergeCell ref="A4:A15"/>
    <mergeCell ref="A18:A21"/>
    <mergeCell ref="A24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Abdulrahman</dc:creator>
  <cp:lastModifiedBy>Jeeda Kotob</cp:lastModifiedBy>
  <dcterms:created xsi:type="dcterms:W3CDTF">2023-09-19T09:50:24Z</dcterms:created>
  <dcterms:modified xsi:type="dcterms:W3CDTF">2025-10-03T18:57:57Z</dcterms:modified>
</cp:coreProperties>
</file>